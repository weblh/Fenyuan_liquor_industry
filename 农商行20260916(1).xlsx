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汾源\"/>
    </mc:Choice>
  </mc:AlternateContent>
  <bookViews>
    <workbookView windowWidth="19200" windowHeight="7000"/>
  </bookViews>
  <sheets>
    <sheet name="Sheet1" sheetId="1" r:id="rId1"/>
  </sheets>
  <definedNames>
    <definedName name="_xlnm._FilterDatabase" localSheetId="0" hidden="1">Sheet1!$A$3:$L$17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<sst xmlns="http://schemas.openxmlformats.org/spreadsheetml/2006/main" count="159" uniqueCount="67">
  <si>
    <t>客户电子回单信息</t>
  </si>
  <si>
    <t>账号</t>
  </si>
  <si>
    <t>00561580000000717 </t>
  </si>
  <si>
    <t>账号名称</t>
  </si>
  <si>
    <t>广东汾源酒业有限公司 </t>
  </si>
  <si>
    <t>电子回单号</t>
  </si>
  <si>
    <t>交易时间</t>
  </si>
  <si>
    <t>对方账号</t>
  </si>
  <si>
    <t>对方账号名称</t>
  </si>
  <si>
    <t>支出/存入</t>
  </si>
  <si>
    <t>交易金额</t>
  </si>
  <si>
    <t>账户余额</t>
  </si>
  <si>
    <t>摘要</t>
  </si>
  <si>
    <t>用途/其他摘要</t>
  </si>
  <si>
    <t>营业机构</t>
  </si>
  <si>
    <t>机构名称</t>
  </si>
  <si>
    <t>交易流水</t>
  </si>
  <si>
    <t>手续费</t>
  </si>
  <si>
    <t>收款金额</t>
  </si>
  <si>
    <t>20260901910240817437322 </t>
  </si>
  <si>
    <t>2026年09月01日 </t>
  </si>
  <si>
    <t>06796780100044692 </t>
  </si>
  <si>
    <t>微信线下收单暂付款 </t>
  </si>
  <si>
    <t>存入 </t>
  </si>
  <si>
    <t>清算 </t>
  </si>
  <si>
    <t>0679 </t>
  </si>
  <si>
    <t>总行作业所 </t>
  </si>
  <si>
    <t>910240817437 </t>
  </si>
  <si>
    <t>20260903910240818919323 </t>
  </si>
  <si>
    <t>2026年09月03日 </t>
  </si>
  <si>
    <t>06796891100044691 </t>
  </si>
  <si>
    <t>支付宝线下收单暂付款 </t>
  </si>
  <si>
    <t>910240818919 </t>
  </si>
  <si>
    <t>20260904910240819671324 </t>
  </si>
  <si>
    <t>2026年09月04日 </t>
  </si>
  <si>
    <t>910240819671 </t>
  </si>
  <si>
    <t>20260904910240819674325 </t>
  </si>
  <si>
    <t>910240819674 </t>
  </si>
  <si>
    <t>20260905910240820659326 </t>
  </si>
  <si>
    <t>2026年09月05日 </t>
  </si>
  <si>
    <t>910240820659 </t>
  </si>
  <si>
    <t>20260905910240820672327 </t>
  </si>
  <si>
    <t>910240820672 </t>
  </si>
  <si>
    <t>20260906910240821166328 </t>
  </si>
  <si>
    <t>2026年09月06日 </t>
  </si>
  <si>
    <t>910240821166 </t>
  </si>
  <si>
    <t>20260908910240822632329 </t>
  </si>
  <si>
    <t>2026年09月08日 </t>
  </si>
  <si>
    <t>910240822632 </t>
  </si>
  <si>
    <t>20260909910240823553330 </t>
  </si>
  <si>
    <t>2026年09月09日 </t>
  </si>
  <si>
    <t>910240823553 </t>
  </si>
  <si>
    <t>20260910910240824644331 </t>
  </si>
  <si>
    <t>2026年09月10日 </t>
  </si>
  <si>
    <t>910240824644 </t>
  </si>
  <si>
    <t>20260911910240825426332 </t>
  </si>
  <si>
    <t>2026年09月11日 </t>
  </si>
  <si>
    <t>910240825426 </t>
  </si>
  <si>
    <t>20260912910240826435333 </t>
  </si>
  <si>
    <t>2026年09月12日 </t>
  </si>
  <si>
    <t>910240826435 </t>
  </si>
  <si>
    <t>20260913910240827143334 </t>
  </si>
  <si>
    <t>2026年09月13日 </t>
  </si>
  <si>
    <t>910240827143 </t>
  </si>
  <si>
    <t>20260914910240827851335 </t>
  </si>
  <si>
    <t>2026年09月14日 </t>
  </si>
  <si>
    <t>910240827851 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</si>
</sst>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workbookViewId="0">
      <pane xSplit="1" ySplit="3" topLeftCell="C4" activePane="bottomRight" state="frozen"/>
      <selection/>
      <selection pane="topRight"/>
      <selection pane="bottomLeft"/>
      <selection pane="bottomRight" activeCell="M1" sqref="M$1:N$1048576"/>
    </sheetView>
  </sheetViews>
  <sheetFormatPr defaultColWidth="8.72727272727273" defaultRowHeight="14"/>
  <cols>
    <col min="1" max="1" width="23.3636363636364" customWidth="1"/>
    <col min="2" max="2" width="14.9090909090909" customWidth="1"/>
    <col min="3" max="3" width="19.4545454545455" customWidth="1"/>
    <col min="4" max="4" width="22.5454545454545" customWidth="1"/>
    <col min="7" max="7" width="10.7272727272727" customWidth="1"/>
    <col min="11" max="11" width="12.2727272727273" customWidth="1"/>
    <col min="12" max="12" width="13.6363636363636" customWidth="1"/>
    <col min="14" max="14" width="9.72727272727273"/>
  </cols>
  <sheetData>
    <row r="1" s="1" customFormat="1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="1" customFormat="1" customHeight="1" spans="1:14">
      <c r="A2" s="3" t="s">
        <v>1</v>
      </c>
      <c r="B2" s="3"/>
      <c r="C2" s="4" t="s">
        <v>2</v>
      </c>
      <c r="D2" s="4"/>
      <c r="E2" s="4"/>
      <c r="F2" s="4"/>
      <c r="G2" s="3" t="s">
        <v>3</v>
      </c>
      <c r="H2" s="3"/>
      <c r="I2" s="4" t="s">
        <v>4</v>
      </c>
      <c r="J2" s="4"/>
      <c r="K2" s="4"/>
      <c r="L2" s="4"/>
    </row>
    <row r="3" s="1" customFormat="1" spans="1:14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6" t="s">
        <v>17</v>
      </c>
      <c r="N3" s="6" t="s">
        <v>18</v>
      </c>
    </row>
    <row r="4" s="1" customFormat="1" ht="26" spans="1:14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8">
        <v>784</v>
      </c>
      <c r="G4" s="9">
        <v>76127.61</v>
      </c>
      <c r="H4" s="7" t="s">
        <v>24</v>
      </c>
      <c r="I4" s="7" t="s">
        <v>24</v>
      </c>
      <c r="J4" s="7" t="s">
        <v>25</v>
      </c>
      <c r="K4" s="7" t="s">
        <v>26</v>
      </c>
      <c r="L4" s="7" t="s">
        <v>27</v>
      </c>
      <c r="M4" s="10">
        <v>0</v>
      </c>
      <c r="N4" s="8">
        <v>784</v>
      </c>
    </row>
    <row r="5" s="1" customFormat="1" ht="26" spans="1:14">
      <c r="A5" s="7" t="s">
        <v>28</v>
      </c>
      <c r="B5" s="7" t="s">
        <v>29</v>
      </c>
      <c r="C5" s="7" t="s">
        <v>30</v>
      </c>
      <c r="D5" s="7" t="s">
        <v>31</v>
      </c>
      <c r="E5" s="7" t="s">
        <v>23</v>
      </c>
      <c r="F5" s="8">
        <v>12325.3</v>
      </c>
      <c r="G5" s="9">
        <v>88452.91</v>
      </c>
      <c r="H5" s="7" t="s">
        <v>24</v>
      </c>
      <c r="I5" s="7" t="s">
        <v>24</v>
      </c>
      <c r="J5" s="7" t="s">
        <v>25</v>
      </c>
      <c r="K5" s="7" t="s">
        <v>26</v>
      </c>
      <c r="L5" s="7" t="s">
        <v>32</v>
      </c>
      <c r="M5" s="9">
        <f t="shared" ref="M5:M17" si="0">N5-F5</f>
        <v>24.7000000000007</v>
      </c>
      <c r="N5" s="9">
        <f>ROUND(F5/(1-0.2%),2)</f>
        <v>12350</v>
      </c>
    </row>
    <row r="6" s="1" customFormat="1" ht="26" spans="1:14">
      <c r="A6" s="7" t="s">
        <v>33</v>
      </c>
      <c r="B6" s="7" t="s">
        <v>34</v>
      </c>
      <c r="C6" s="7" t="s">
        <v>21</v>
      </c>
      <c r="D6" s="7" t="s">
        <v>22</v>
      </c>
      <c r="E6" s="7" t="s">
        <v>23</v>
      </c>
      <c r="F6" s="8">
        <v>4091.8</v>
      </c>
      <c r="G6" s="9">
        <v>92544.71</v>
      </c>
      <c r="H6" s="7" t="s">
        <v>24</v>
      </c>
      <c r="I6" s="7" t="s">
        <v>24</v>
      </c>
      <c r="J6" s="7" t="s">
        <v>25</v>
      </c>
      <c r="K6" s="7" t="s">
        <v>26</v>
      </c>
      <c r="L6" s="7" t="s">
        <v>35</v>
      </c>
      <c r="M6" s="9">
        <f t="shared" si="0"/>
        <v>8.19999999999982</v>
      </c>
      <c r="N6" s="9">
        <f t="shared" ref="N5:N17" si="1">ROUND(F6/(1-0.2%),2)</f>
        <v>4100</v>
      </c>
    </row>
    <row r="7" s="1" customFormat="1" ht="26" spans="1:14">
      <c r="A7" s="7" t="s">
        <v>36</v>
      </c>
      <c r="B7" s="7" t="s">
        <v>34</v>
      </c>
      <c r="C7" s="7" t="s">
        <v>30</v>
      </c>
      <c r="D7" s="7" t="s">
        <v>31</v>
      </c>
      <c r="E7" s="7" t="s">
        <v>23</v>
      </c>
      <c r="F7" s="8">
        <v>768.46</v>
      </c>
      <c r="G7" s="9">
        <v>93313.17</v>
      </c>
      <c r="H7" s="7" t="s">
        <v>24</v>
      </c>
      <c r="I7" s="7" t="s">
        <v>24</v>
      </c>
      <c r="J7" s="7" t="s">
        <v>25</v>
      </c>
      <c r="K7" s="7" t="s">
        <v>26</v>
      </c>
      <c r="L7" s="7" t="s">
        <v>37</v>
      </c>
      <c r="M7" s="9">
        <f t="shared" si="0"/>
        <v>1.53999999999996</v>
      </c>
      <c r="N7" s="9">
        <f t="shared" si="1"/>
        <v>770</v>
      </c>
    </row>
    <row r="8" s="1" customFormat="1" ht="26" spans="1:14">
      <c r="A8" s="7" t="s">
        <v>38</v>
      </c>
      <c r="B8" s="7" t="s">
        <v>39</v>
      </c>
      <c r="C8" s="7" t="s">
        <v>21</v>
      </c>
      <c r="D8" s="7" t="s">
        <v>22</v>
      </c>
      <c r="E8" s="7" t="s">
        <v>23</v>
      </c>
      <c r="F8" s="8">
        <v>598.8</v>
      </c>
      <c r="G8" s="9">
        <v>93911.97</v>
      </c>
      <c r="H8" s="7" t="s">
        <v>24</v>
      </c>
      <c r="I8" s="7" t="s">
        <v>24</v>
      </c>
      <c r="J8" s="7" t="s">
        <v>25</v>
      </c>
      <c r="K8" s="7" t="s">
        <v>26</v>
      </c>
      <c r="L8" s="7" t="s">
        <v>40</v>
      </c>
      <c r="M8" s="9">
        <f t="shared" si="0"/>
        <v>1.20000000000005</v>
      </c>
      <c r="N8" s="9">
        <f t="shared" si="1"/>
        <v>600</v>
      </c>
    </row>
    <row r="9" s="1" customFormat="1" ht="26" spans="1:14">
      <c r="A9" s="7" t="s">
        <v>41</v>
      </c>
      <c r="B9" s="7" t="s">
        <v>39</v>
      </c>
      <c r="C9" s="7" t="s">
        <v>30</v>
      </c>
      <c r="D9" s="7" t="s">
        <v>31</v>
      </c>
      <c r="E9" s="7" t="s">
        <v>23</v>
      </c>
      <c r="F9" s="8">
        <v>391.22</v>
      </c>
      <c r="G9" s="9">
        <v>94303.19</v>
      </c>
      <c r="H9" s="7" t="s">
        <v>24</v>
      </c>
      <c r="I9" s="7" t="s">
        <v>24</v>
      </c>
      <c r="J9" s="7" t="s">
        <v>25</v>
      </c>
      <c r="K9" s="7" t="s">
        <v>26</v>
      </c>
      <c r="L9" s="7" t="s">
        <v>42</v>
      </c>
      <c r="M9" s="9">
        <f t="shared" si="0"/>
        <v>0.779999999999973</v>
      </c>
      <c r="N9" s="9">
        <f t="shared" si="1"/>
        <v>392</v>
      </c>
    </row>
    <row r="10" s="1" customFormat="1" ht="26" spans="1:14">
      <c r="A10" s="7" t="s">
        <v>43</v>
      </c>
      <c r="B10" s="7" t="s">
        <v>44</v>
      </c>
      <c r="C10" s="7" t="s">
        <v>21</v>
      </c>
      <c r="D10" s="7" t="s">
        <v>22</v>
      </c>
      <c r="E10" s="7" t="s">
        <v>23</v>
      </c>
      <c r="F10" s="8">
        <v>4590.8</v>
      </c>
      <c r="G10" s="9">
        <v>98893.99</v>
      </c>
      <c r="H10" s="7" t="s">
        <v>24</v>
      </c>
      <c r="I10" s="7" t="s">
        <v>24</v>
      </c>
      <c r="J10" s="7" t="s">
        <v>25</v>
      </c>
      <c r="K10" s="7" t="s">
        <v>26</v>
      </c>
      <c r="L10" s="7" t="s">
        <v>45</v>
      </c>
      <c r="M10" s="9">
        <f t="shared" si="0"/>
        <v>9.19999999999982</v>
      </c>
      <c r="N10" s="9">
        <f t="shared" si="1"/>
        <v>4600</v>
      </c>
    </row>
    <row r="11" s="1" customFormat="1" ht="26" spans="1:14">
      <c r="A11" s="7" t="s">
        <v>46</v>
      </c>
      <c r="B11" s="7" t="s">
        <v>47</v>
      </c>
      <c r="C11" s="7" t="s">
        <v>21</v>
      </c>
      <c r="D11" s="7" t="s">
        <v>22</v>
      </c>
      <c r="E11" s="7" t="s">
        <v>23</v>
      </c>
      <c r="F11" s="8">
        <v>1119.76</v>
      </c>
      <c r="G11" s="9">
        <v>100013.75</v>
      </c>
      <c r="H11" s="7" t="s">
        <v>24</v>
      </c>
      <c r="I11" s="7" t="s">
        <v>24</v>
      </c>
      <c r="J11" s="7" t="s">
        <v>25</v>
      </c>
      <c r="K11" s="7" t="s">
        <v>26</v>
      </c>
      <c r="L11" s="7" t="s">
        <v>48</v>
      </c>
      <c r="M11" s="9">
        <f t="shared" si="0"/>
        <v>2.24000000000001</v>
      </c>
      <c r="N11" s="9">
        <f t="shared" si="1"/>
        <v>1122</v>
      </c>
    </row>
    <row r="12" s="1" customFormat="1" ht="26" spans="1:14">
      <c r="A12" s="7" t="s">
        <v>49</v>
      </c>
      <c r="B12" s="7" t="s">
        <v>50</v>
      </c>
      <c r="C12" s="7" t="s">
        <v>21</v>
      </c>
      <c r="D12" s="7" t="s">
        <v>22</v>
      </c>
      <c r="E12" s="7" t="s">
        <v>23</v>
      </c>
      <c r="F12" s="8">
        <v>1197.6</v>
      </c>
      <c r="G12" s="9">
        <v>101211.35</v>
      </c>
      <c r="H12" s="7" t="s">
        <v>24</v>
      </c>
      <c r="I12" s="7" t="s">
        <v>24</v>
      </c>
      <c r="J12" s="7" t="s">
        <v>25</v>
      </c>
      <c r="K12" s="7" t="s">
        <v>26</v>
      </c>
      <c r="L12" s="7" t="s">
        <v>51</v>
      </c>
      <c r="M12" s="9">
        <f t="shared" si="0"/>
        <v>2.40000000000009</v>
      </c>
      <c r="N12" s="9">
        <f t="shared" si="1"/>
        <v>1200</v>
      </c>
    </row>
    <row r="13" s="1" customFormat="1" ht="26" spans="1:14">
      <c r="A13" s="7" t="s">
        <v>52</v>
      </c>
      <c r="B13" s="7" t="s">
        <v>53</v>
      </c>
      <c r="C13" s="7" t="s">
        <v>21</v>
      </c>
      <c r="D13" s="7" t="s">
        <v>22</v>
      </c>
      <c r="E13" s="7" t="s">
        <v>23</v>
      </c>
      <c r="F13" s="8">
        <v>1796.4</v>
      </c>
      <c r="G13" s="9">
        <v>103007.75</v>
      </c>
      <c r="H13" s="7" t="s">
        <v>24</v>
      </c>
      <c r="I13" s="7" t="s">
        <v>24</v>
      </c>
      <c r="J13" s="7" t="s">
        <v>25</v>
      </c>
      <c r="K13" s="7" t="s">
        <v>26</v>
      </c>
      <c r="L13" s="7" t="s">
        <v>54</v>
      </c>
      <c r="M13" s="9">
        <f t="shared" si="0"/>
        <v>3.59999999999991</v>
      </c>
      <c r="N13" s="9">
        <f t="shared" si="1"/>
        <v>1800</v>
      </c>
    </row>
    <row r="14" s="1" customFormat="1" ht="26" spans="1:14">
      <c r="A14" s="7" t="s">
        <v>55</v>
      </c>
      <c r="B14" s="7" t="s">
        <v>56</v>
      </c>
      <c r="C14" s="7" t="s">
        <v>21</v>
      </c>
      <c r="D14" s="7" t="s">
        <v>22</v>
      </c>
      <c r="E14" s="7" t="s">
        <v>23</v>
      </c>
      <c r="F14" s="8">
        <v>2115.76</v>
      </c>
      <c r="G14" s="9">
        <v>105123.51</v>
      </c>
      <c r="H14" s="7" t="s">
        <v>24</v>
      </c>
      <c r="I14" s="7" t="s">
        <v>24</v>
      </c>
      <c r="J14" s="7" t="s">
        <v>25</v>
      </c>
      <c r="K14" s="7" t="s">
        <v>26</v>
      </c>
      <c r="L14" s="7" t="s">
        <v>57</v>
      </c>
      <c r="M14" s="9">
        <f t="shared" si="0"/>
        <v>4.23999999999978</v>
      </c>
      <c r="N14" s="9">
        <f t="shared" si="1"/>
        <v>2120</v>
      </c>
    </row>
    <row r="15" s="1" customFormat="1" ht="26" spans="1:14">
      <c r="A15" s="7" t="s">
        <v>58</v>
      </c>
      <c r="B15" s="7" t="s">
        <v>59</v>
      </c>
      <c r="C15" s="7" t="s">
        <v>21</v>
      </c>
      <c r="D15" s="7" t="s">
        <v>22</v>
      </c>
      <c r="E15" s="7" t="s">
        <v>23</v>
      </c>
      <c r="F15" s="8">
        <v>59.88</v>
      </c>
      <c r="G15" s="9">
        <v>105183.39</v>
      </c>
      <c r="H15" s="7" t="s">
        <v>24</v>
      </c>
      <c r="I15" s="7" t="s">
        <v>24</v>
      </c>
      <c r="J15" s="7" t="s">
        <v>25</v>
      </c>
      <c r="K15" s="7" t="s">
        <v>26</v>
      </c>
      <c r="L15" s="7" t="s">
        <v>60</v>
      </c>
      <c r="M15" s="9">
        <f t="shared" si="0"/>
        <v>0.119999999999997</v>
      </c>
      <c r="N15" s="9">
        <f t="shared" si="1"/>
        <v>60</v>
      </c>
    </row>
    <row r="16" s="1" customFormat="1" ht="26" spans="1:14">
      <c r="A16" s="7" t="s">
        <v>61</v>
      </c>
      <c r="B16" s="7" t="s">
        <v>62</v>
      </c>
      <c r="C16" s="7" t="s">
        <v>30</v>
      </c>
      <c r="D16" s="7" t="s">
        <v>31</v>
      </c>
      <c r="E16" s="7" t="s">
        <v>23</v>
      </c>
      <c r="F16" s="8">
        <v>391.22</v>
      </c>
      <c r="G16" s="9">
        <v>105574.61</v>
      </c>
      <c r="H16" s="7" t="s">
        <v>24</v>
      </c>
      <c r="I16" s="7" t="s">
        <v>24</v>
      </c>
      <c r="J16" s="7" t="s">
        <v>25</v>
      </c>
      <c r="K16" s="7" t="s">
        <v>26</v>
      </c>
      <c r="L16" s="7" t="s">
        <v>63</v>
      </c>
      <c r="M16" s="9">
        <f t="shared" si="0"/>
        <v>0.779999999999973</v>
      </c>
      <c r="N16" s="9">
        <f t="shared" si="1"/>
        <v>392</v>
      </c>
    </row>
    <row r="17" s="1" customFormat="1" ht="26" spans="1:14">
      <c r="A17" s="7" t="s">
        <v>64</v>
      </c>
      <c r="B17" s="7" t="s">
        <v>65</v>
      </c>
      <c r="C17" s="7" t="s">
        <v>21</v>
      </c>
      <c r="D17" s="7" t="s">
        <v>22</v>
      </c>
      <c r="E17" s="7" t="s">
        <v>23</v>
      </c>
      <c r="F17" s="8">
        <v>3642.7</v>
      </c>
      <c r="G17" s="9">
        <v>109217.31</v>
      </c>
      <c r="H17" s="7" t="s">
        <v>24</v>
      </c>
      <c r="I17" s="7" t="s">
        <v>24</v>
      </c>
      <c r="J17" s="7" t="s">
        <v>25</v>
      </c>
      <c r="K17" s="7" t="s">
        <v>26</v>
      </c>
      <c r="L17" s="7" t="s">
        <v>66</v>
      </c>
      <c r="M17" s="9">
        <f t="shared" si="0"/>
        <v>7.30000000000018</v>
      </c>
      <c r="N17" s="9">
        <f t="shared" si="1"/>
        <v>3650</v>
      </c>
    </row>
  </sheetData>
  <autoFilter xmlns:etc="http://www.wps.cn/officeDocument/2017/etCustomData" ref="A3:L17" etc:filterBottomFollowUsedRange="0">
    <extLst/>
  </autoFilter>
  <mergeCells count="5">
    <mergeCell ref="A1:L1"/>
    <mergeCell ref="A2:B2"/>
    <mergeCell ref="C2:F2"/>
    <mergeCell ref="G2:H2"/>
    <mergeCell ref="I2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</dc:creator>
  <cp:lastModifiedBy>Adam</cp:lastModifiedBy>
  <dcterms:created xsi:type="dcterms:W3CDTF">2026-09-16T07:04:00Z</dcterms:created>
  <dcterms:modified xsi:type="dcterms:W3CDTF">2026-09-18T05:48:53Z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4C3788444D7E456EAF7C1827A3EA3601_11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